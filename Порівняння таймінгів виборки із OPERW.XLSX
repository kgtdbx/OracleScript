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Test performance\"/>
    </mc:Choice>
  </mc:AlternateContent>
  <bookViews>
    <workbookView xWindow="0" yWindow="0" windowWidth="28800" windowHeight="1258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4" i="1"/>
  <c r="J5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3" i="1"/>
  <c r="G20" i="1"/>
  <c r="H20" i="1" s="1"/>
  <c r="G19" i="1"/>
  <c r="H19" i="1" s="1"/>
  <c r="G17" i="1"/>
  <c r="H17" i="1" s="1"/>
  <c r="G16" i="1"/>
  <c r="H16" i="1" s="1"/>
  <c r="G10" i="1"/>
  <c r="H10" i="1"/>
  <c r="G11" i="1"/>
  <c r="H11" i="1"/>
  <c r="G13" i="1"/>
  <c r="H13" i="1"/>
  <c r="G14" i="1"/>
  <c r="H14" i="1"/>
  <c r="H5" i="1"/>
  <c r="G8" i="1"/>
  <c r="H8" i="1" s="1"/>
  <c r="G5" i="1"/>
  <c r="G7" i="1"/>
  <c r="H7" i="1" s="1"/>
  <c r="G4" i="1"/>
  <c r="H4" i="1" s="1"/>
</calcChain>
</file>

<file path=xl/sharedStrings.xml><?xml version="1.0" encoding="utf-8"?>
<sst xmlns="http://schemas.openxmlformats.org/spreadsheetml/2006/main" count="65" uniqueCount="15">
  <si>
    <t>Reference partition</t>
  </si>
  <si>
    <t>N</t>
  </si>
  <si>
    <t>Y</t>
  </si>
  <si>
    <t>Search key</t>
  </si>
  <si>
    <t>Num of searches</t>
  </si>
  <si>
    <t>Time</t>
  </si>
  <si>
    <t>Records found</t>
  </si>
  <si>
    <t>Difference with OPERW</t>
  </si>
  <si>
    <t>Percent</t>
  </si>
  <si>
    <t>Local index</t>
  </si>
  <si>
    <t>Unique scan (Ref + Tag ("ND"))</t>
  </si>
  <si>
    <t>Range scan (Ref)</t>
  </si>
  <si>
    <t>declare
    l_value varchar2(4000 byte);
    l integer default 0;
    l_number_list number_list;
    i integer;
    l_start timestamp;
begin
    l_start := systimestamp;
    select ref
    bulk collect into l_number_list
    from (select ref, row_number() over (order by ref) row_num
          from oper)
    where row_num between 2000000 and 7000000;
    dbms_output.put_line('Fetch time is : ' || (systimestamp - l_start));
    dbms_output.put_line('Fetched records count is : ' || l_number_list.count);
    l_start := systimestamp;
    i := l_number_list.first;
    while (i is not null) loop
        select min(value) keep (dense_rank last order by 100) into l_value from operw t where t.ref = l_number_list(i) and t.tag = 'ND';
        if (l_value is not null) then
            l := l + 1;
        end if;
        i := l_number_list.next(i);
    end loop;
    dbms_output.put_line('OPERW Unique key search done in : ' || (systimestamp - l_start) || ', values found : ' || l);
    l := 0;
    l_start := systimestamp;
    i := l_number_list.first;
    while (i is not null) loop
        select min(value) keep (dense_rank last order by 100) into l_value from test_operw_part t where t.ref = l_number_list(i) and t.tag = 'ND';
        if (l_value is not null) then
            l := l + 1;
        end if;
        i := l_number_list.next(i);
    end loop;
    dbms_output.put_line('Partitioned OPERW Unique key search done in : ' || (systimestamp - l_start) || ', values found : ' || l);
    l := 0;
    l_start := systimestamp;
    i := l_number_list.first;
    while (i is not null) loop
        select min(value) keep (dense_rank last order by 100) into l_value from test_operw_part2 t where t.ref = l_number_list(i) and t.tag = 'ND';
        if (l_value is not null) then
            l := l + 1;
        end if;
        i := l_number_list.next(i);
    end loop;
    dbms_output.put_line('Partitioned OPERW with local index Unique key search done in : ' || (systimestamp - l_start) || ', values found : ' || l);
    l := 0;
    l_start := systimestamp;
    i := l_number_list.first;
    while (i is not null) loop
        select min(value) keep (dense_rank last order by 100) into l_value from operw t where t.ref = l_number_list(i);
        if (l_value is not null) then
            l := l + 1;
        end if;
        i := l_number_list.next(i);
    end loop;
    dbms_output.put_line('OPERW Range scan done in : ' || (systimestamp - l_start) || ', values found : ' || l);
    l := 0;
    l_start := systimestamp;
    i := l_number_list.first;
    while (i is not null) loop
        select min(value) keep (dense_rank last order by 100) into l_value from test_operw_part t where t.ref = l_number_list(i);
        if (l_value is not null) then
            l := l + 1;
        end if;
        i := l_number_list.next(i);
    end loop;
    dbms_output.put_line('Partitioned OPERW Range scan done in : ' || (systimestamp - l_start) || ', values found : ' || l);
    l := 0;
    l_start := systimestamp;
    i := l_number_list.first;
    while (i is not null) loop
        select min(value) keep (dense_rank last order by 100) into l_value from test_operw_part2 t where t.ref = l_number_list(i);
        if (l_value is not null) then
            l := l + 1;
        end if;
        i := l_number_list.next(i);
    end loop;
    dbms_output.put_line('Partitioned OPERW with local index Range scan done in : ' || (systimestamp - l_start) || ', values found : ' || l);
end;
/</t>
  </si>
  <si>
    <t>Matching rate</t>
  </si>
  <si>
    <t>Fetching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</si>
</sst>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/>
    <xf numFmtId="10" fontId="0" fillId="2" borderId="1" xfId="1" applyNumberFormat="1" applyFont="1" applyFill="1" applyBorder="1"/>
    <xf numFmtId="164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tabSelected="1" workbookViewId="0">
      <selection activeCell="G8" sqref="G8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29" customWidth="1"/>
    <col min="4" max="4" width="15.85546875" bestFit="1" customWidth="1"/>
    <col min="5" max="5" width="13.85546875" bestFit="1" customWidth="1"/>
    <col min="6" max="6" width="11.7109375" bestFit="1" customWidth="1"/>
    <col min="7" max="7" width="22.28515625" bestFit="1" customWidth="1"/>
    <col min="9" max="10" width="13.28515625" bestFit="1" customWidth="1"/>
  </cols>
  <sheetData>
    <row r="2" spans="1:10" x14ac:dyDescent="0.25">
      <c r="A2" s="3" t="s">
        <v>0</v>
      </c>
      <c r="B2" s="3" t="s">
        <v>9</v>
      </c>
      <c r="C2" s="3" t="s">
        <v>3</v>
      </c>
      <c r="D2" s="3" t="s">
        <v>4</v>
      </c>
      <c r="E2" s="3" t="s">
        <v>6</v>
      </c>
      <c r="F2" s="3" t="s">
        <v>5</v>
      </c>
      <c r="G2" s="3" t="s">
        <v>7</v>
      </c>
      <c r="H2" s="3" t="s">
        <v>8</v>
      </c>
      <c r="I2" s="3" t="s">
        <v>13</v>
      </c>
      <c r="J2" t="s">
        <v>14</v>
      </c>
    </row>
    <row r="3" spans="1:10" x14ac:dyDescent="0.25">
      <c r="A3" s="4" t="s">
        <v>1</v>
      </c>
      <c r="B3" s="4" t="s">
        <v>1</v>
      </c>
      <c r="C3" s="3" t="s">
        <v>10</v>
      </c>
      <c r="D3" s="3">
        <v>1000001</v>
      </c>
      <c r="E3" s="3">
        <v>74467</v>
      </c>
      <c r="F3" s="3">
        <v>46.534999999999997</v>
      </c>
      <c r="G3" s="3"/>
      <c r="H3" s="5"/>
      <c r="I3" s="5">
        <f>E3/D3</f>
        <v>7.4466925533074463E-2</v>
      </c>
      <c r="J3" s="2">
        <f>F3*I3</f>
        <v>3.4653183796816198</v>
      </c>
    </row>
    <row r="4" spans="1:10" x14ac:dyDescent="0.25">
      <c r="A4" s="4" t="s">
        <v>2</v>
      </c>
      <c r="B4" s="4" t="s">
        <v>1</v>
      </c>
      <c r="C4" s="3" t="s">
        <v>10</v>
      </c>
      <c r="D4" s="3">
        <v>1000001</v>
      </c>
      <c r="E4" s="3">
        <v>74467</v>
      </c>
      <c r="F4" s="3">
        <v>49.093000000000004</v>
      </c>
      <c r="G4" s="3">
        <f>F4-F3</f>
        <v>2.5580000000000069</v>
      </c>
      <c r="H4" s="5">
        <f>G4/F3</f>
        <v>5.496937788761163E-2</v>
      </c>
      <c r="I4" s="5">
        <f t="shared" ref="I4:I20" si="0">E4/D4</f>
        <v>7.4466925533074463E-2</v>
      </c>
      <c r="J4" s="2">
        <f t="shared" ref="J4:J20" si="1">F4*I4</f>
        <v>3.6558047751952247</v>
      </c>
    </row>
    <row r="5" spans="1:10" x14ac:dyDescent="0.25">
      <c r="A5" s="4" t="s">
        <v>2</v>
      </c>
      <c r="B5" s="4" t="s">
        <v>2</v>
      </c>
      <c r="C5" s="3" t="s">
        <v>10</v>
      </c>
      <c r="D5" s="3">
        <v>1000001</v>
      </c>
      <c r="E5" s="3">
        <v>74467</v>
      </c>
      <c r="F5" s="3">
        <v>50.262999999999998</v>
      </c>
      <c r="G5" s="3">
        <f>F5-F3</f>
        <v>3.7280000000000015</v>
      </c>
      <c r="H5" s="6">
        <f>G5/F3</f>
        <v>8.0111743848716055E-2</v>
      </c>
      <c r="I5" s="5">
        <f t="shared" si="0"/>
        <v>7.4466925533074463E-2</v>
      </c>
      <c r="J5" s="2">
        <f t="shared" si="1"/>
        <v>3.7429310780689216</v>
      </c>
    </row>
    <row r="6" spans="1:10" x14ac:dyDescent="0.25">
      <c r="A6" s="4" t="s">
        <v>1</v>
      </c>
      <c r="B6" s="4" t="s">
        <v>1</v>
      </c>
      <c r="C6" s="3" t="s">
        <v>11</v>
      </c>
      <c r="D6" s="3">
        <v>1000001</v>
      </c>
      <c r="E6" s="3">
        <v>638848</v>
      </c>
      <c r="F6" s="3">
        <v>61.448999999999998</v>
      </c>
      <c r="G6" s="3"/>
      <c r="H6" s="5"/>
      <c r="I6" s="5">
        <f t="shared" si="0"/>
        <v>0.63884736115263885</v>
      </c>
      <c r="J6" s="2">
        <f t="shared" si="1"/>
        <v>39.256531495468501</v>
      </c>
    </row>
    <row r="7" spans="1:10" x14ac:dyDescent="0.25">
      <c r="A7" s="4" t="s">
        <v>2</v>
      </c>
      <c r="B7" s="4" t="s">
        <v>1</v>
      </c>
      <c r="C7" s="3" t="s">
        <v>11</v>
      </c>
      <c r="D7" s="3">
        <v>1000001</v>
      </c>
      <c r="E7" s="3">
        <v>638848</v>
      </c>
      <c r="F7" s="3">
        <v>68.718000000000004</v>
      </c>
      <c r="G7" s="3">
        <f t="shared" ref="G7" si="2">F7-F6</f>
        <v>7.2690000000000055</v>
      </c>
      <c r="H7" s="5">
        <f>G7/F6</f>
        <v>0.1182932187667823</v>
      </c>
      <c r="I7" s="5">
        <f t="shared" si="0"/>
        <v>0.63884736115263885</v>
      </c>
      <c r="J7" s="2">
        <f t="shared" si="1"/>
        <v>43.900312963687036</v>
      </c>
    </row>
    <row r="8" spans="1:10" x14ac:dyDescent="0.25">
      <c r="A8" s="4" t="s">
        <v>2</v>
      </c>
      <c r="B8" s="4" t="s">
        <v>2</v>
      </c>
      <c r="C8" s="3" t="s">
        <v>11</v>
      </c>
      <c r="D8" s="3">
        <v>1000001</v>
      </c>
      <c r="E8" s="3">
        <v>638848</v>
      </c>
      <c r="F8" s="3">
        <v>80.245999999999995</v>
      </c>
      <c r="G8" s="3">
        <f>F8-F6</f>
        <v>18.796999999999997</v>
      </c>
      <c r="H8" s="6">
        <f>G8/F6</f>
        <v>0.30589594623183447</v>
      </c>
      <c r="I8" s="5">
        <f t="shared" si="0"/>
        <v>0.63884736115263885</v>
      </c>
      <c r="J8" s="2">
        <f t="shared" si="1"/>
        <v>51.264945343054656</v>
      </c>
    </row>
    <row r="9" spans="1:10" x14ac:dyDescent="0.25">
      <c r="A9" s="4" t="s">
        <v>1</v>
      </c>
      <c r="B9" s="4" t="s">
        <v>1</v>
      </c>
      <c r="C9" s="3" t="s">
        <v>10</v>
      </c>
      <c r="D9" s="3">
        <v>5000001</v>
      </c>
      <c r="E9" s="3">
        <v>315888</v>
      </c>
      <c r="F9" s="3">
        <v>232.33199999999999</v>
      </c>
      <c r="G9" s="3"/>
      <c r="H9" s="5"/>
      <c r="I9" s="5">
        <f t="shared" si="0"/>
        <v>6.3177587364482521E-2</v>
      </c>
      <c r="J9" s="2">
        <f t="shared" si="1"/>
        <v>14.678175227564953</v>
      </c>
    </row>
    <row r="10" spans="1:10" x14ac:dyDescent="0.25">
      <c r="A10" s="4" t="s">
        <v>2</v>
      </c>
      <c r="B10" s="4" t="s">
        <v>1</v>
      </c>
      <c r="C10" s="3" t="s">
        <v>10</v>
      </c>
      <c r="D10" s="3">
        <v>5000001</v>
      </c>
      <c r="E10" s="3">
        <v>315888</v>
      </c>
      <c r="F10" s="7">
        <v>237.12</v>
      </c>
      <c r="G10" s="3">
        <f>F10-F9</f>
        <v>4.7880000000000109</v>
      </c>
      <c r="H10" s="5">
        <f>G10/F9</f>
        <v>2.0608439646712509E-2</v>
      </c>
      <c r="I10" s="5">
        <f t="shared" si="0"/>
        <v>6.3177587364482521E-2</v>
      </c>
      <c r="J10" s="2">
        <f t="shared" si="1"/>
        <v>14.980669515866095</v>
      </c>
    </row>
    <row r="11" spans="1:10" x14ac:dyDescent="0.25">
      <c r="A11" s="4" t="s">
        <v>2</v>
      </c>
      <c r="B11" s="4" t="s">
        <v>2</v>
      </c>
      <c r="C11" s="3" t="s">
        <v>10</v>
      </c>
      <c r="D11" s="3">
        <v>5000001</v>
      </c>
      <c r="E11" s="3">
        <v>315888</v>
      </c>
      <c r="F11" s="3">
        <v>242.066</v>
      </c>
      <c r="G11" s="3">
        <f>F11-F9</f>
        <v>9.7340000000000089</v>
      </c>
      <c r="H11" s="6">
        <f>G11/F9</f>
        <v>4.1896940585024918E-2</v>
      </c>
      <c r="I11" s="5">
        <f t="shared" si="0"/>
        <v>6.3177587364482521E-2</v>
      </c>
      <c r="J11" s="2">
        <f t="shared" si="1"/>
        <v>15.293145862970826</v>
      </c>
    </row>
    <row r="12" spans="1:10" x14ac:dyDescent="0.25">
      <c r="A12" s="4" t="s">
        <v>1</v>
      </c>
      <c r="B12" s="4" t="s">
        <v>1</v>
      </c>
      <c r="C12" s="3" t="s">
        <v>11</v>
      </c>
      <c r="D12" s="3">
        <v>5000001</v>
      </c>
      <c r="E12" s="3">
        <v>3237385</v>
      </c>
      <c r="F12" s="3">
        <v>306.75799999999998</v>
      </c>
      <c r="G12" s="3"/>
      <c r="H12" s="5"/>
      <c r="I12" s="5">
        <f t="shared" si="0"/>
        <v>0.64747687050462588</v>
      </c>
      <c r="J12" s="2">
        <f t="shared" si="1"/>
        <v>198.618709842258</v>
      </c>
    </row>
    <row r="13" spans="1:10" x14ac:dyDescent="0.25">
      <c r="A13" s="4" t="s">
        <v>2</v>
      </c>
      <c r="B13" s="4" t="s">
        <v>1</v>
      </c>
      <c r="C13" s="3" t="s">
        <v>11</v>
      </c>
      <c r="D13" s="3">
        <v>5000001</v>
      </c>
      <c r="E13" s="3">
        <v>3237385</v>
      </c>
      <c r="F13" s="3">
        <v>348.22399999999999</v>
      </c>
      <c r="G13" s="3">
        <f t="shared" ref="G13" si="3">F13-F12</f>
        <v>41.466000000000008</v>
      </c>
      <c r="H13" s="5">
        <f>G13/F12</f>
        <v>0.13517495876228169</v>
      </c>
      <c r="I13" s="5">
        <f t="shared" si="0"/>
        <v>0.64747687050462588</v>
      </c>
      <c r="J13" s="2">
        <f t="shared" si="1"/>
        <v>225.46698575460283</v>
      </c>
    </row>
    <row r="14" spans="1:10" x14ac:dyDescent="0.25">
      <c r="A14" s="4" t="s">
        <v>2</v>
      </c>
      <c r="B14" s="4" t="s">
        <v>2</v>
      </c>
      <c r="C14" s="3" t="s">
        <v>11</v>
      </c>
      <c r="D14" s="3">
        <v>5000001</v>
      </c>
      <c r="E14" s="3">
        <v>3237385</v>
      </c>
      <c r="F14" s="3">
        <v>387.70800000000003</v>
      </c>
      <c r="G14" s="3">
        <f>F14-F12</f>
        <v>80.950000000000045</v>
      </c>
      <c r="H14" s="6">
        <f>G14/F12</f>
        <v>0.26388879833614787</v>
      </c>
      <c r="I14" s="5">
        <f t="shared" si="0"/>
        <v>0.64747687050462588</v>
      </c>
      <c r="J14" s="2">
        <f t="shared" si="1"/>
        <v>251.0319625096075</v>
      </c>
    </row>
    <row r="15" spans="1:10" x14ac:dyDescent="0.25">
      <c r="A15" s="4" t="s">
        <v>1</v>
      </c>
      <c r="B15" s="4" t="s">
        <v>1</v>
      </c>
      <c r="C15" s="3" t="s">
        <v>10</v>
      </c>
      <c r="D15" s="3">
        <v>10000001</v>
      </c>
      <c r="E15" s="3">
        <v>457286</v>
      </c>
      <c r="F15" s="3">
        <v>417.98700000000002</v>
      </c>
      <c r="G15" s="3"/>
      <c r="H15" s="5"/>
      <c r="I15" s="5">
        <f t="shared" si="0"/>
        <v>4.5728595427140459E-2</v>
      </c>
      <c r="J15" s="2">
        <f t="shared" si="1"/>
        <v>19.113958416804159</v>
      </c>
    </row>
    <row r="16" spans="1:10" x14ac:dyDescent="0.25">
      <c r="A16" s="4" t="s">
        <v>2</v>
      </c>
      <c r="B16" s="4" t="s">
        <v>1</v>
      </c>
      <c r="C16" s="3" t="s">
        <v>10</v>
      </c>
      <c r="D16" s="3">
        <v>10000001</v>
      </c>
      <c r="E16" s="3">
        <v>457286</v>
      </c>
      <c r="F16" s="3">
        <v>477.40800000000002</v>
      </c>
      <c r="G16" s="3">
        <f>F16-F15</f>
        <v>59.420999999999992</v>
      </c>
      <c r="H16" s="5">
        <f>G16/F15</f>
        <v>0.14215992363398858</v>
      </c>
      <c r="I16" s="5">
        <f t="shared" si="0"/>
        <v>4.5728595427140459E-2</v>
      </c>
      <c r="J16" s="2">
        <f t="shared" si="1"/>
        <v>21.831197285680272</v>
      </c>
    </row>
    <row r="17" spans="1:10" x14ac:dyDescent="0.25">
      <c r="A17" s="4" t="s">
        <v>2</v>
      </c>
      <c r="B17" s="4" t="s">
        <v>2</v>
      </c>
      <c r="C17" s="3" t="s">
        <v>10</v>
      </c>
      <c r="D17" s="3">
        <v>10000001</v>
      </c>
      <c r="E17" s="3">
        <v>457286</v>
      </c>
      <c r="F17" s="3">
        <v>489.18599999999998</v>
      </c>
      <c r="G17" s="3">
        <f>F17-F15</f>
        <v>71.198999999999955</v>
      </c>
      <c r="H17" s="6">
        <f>G17/F15</f>
        <v>0.17033783347328973</v>
      </c>
      <c r="I17" s="5">
        <f t="shared" si="0"/>
        <v>4.5728595427140459E-2</v>
      </c>
      <c r="J17" s="2">
        <f t="shared" si="1"/>
        <v>22.369788682621131</v>
      </c>
    </row>
    <row r="18" spans="1:10" x14ac:dyDescent="0.25">
      <c r="A18" s="4" t="s">
        <v>1</v>
      </c>
      <c r="B18" s="4" t="s">
        <v>1</v>
      </c>
      <c r="C18" s="3" t="s">
        <v>11</v>
      </c>
      <c r="D18" s="3">
        <v>10000001</v>
      </c>
      <c r="E18" s="3">
        <v>6535482</v>
      </c>
      <c r="F18" s="3">
        <v>573.02</v>
      </c>
      <c r="G18" s="3"/>
      <c r="H18" s="5"/>
      <c r="I18" s="5">
        <f t="shared" si="0"/>
        <v>0.65354813464518657</v>
      </c>
      <c r="J18" s="2">
        <f t="shared" si="1"/>
        <v>374.49615211438481</v>
      </c>
    </row>
    <row r="19" spans="1:10" x14ac:dyDescent="0.25">
      <c r="A19" s="4" t="s">
        <v>2</v>
      </c>
      <c r="B19" s="4" t="s">
        <v>1</v>
      </c>
      <c r="C19" s="3" t="s">
        <v>11</v>
      </c>
      <c r="D19" s="3">
        <v>10000001</v>
      </c>
      <c r="E19" s="3">
        <v>6535482</v>
      </c>
      <c r="F19" s="3">
        <v>724.16899999999998</v>
      </c>
      <c r="G19" s="3">
        <f t="shared" ref="G19" si="4">F19-F18</f>
        <v>151.149</v>
      </c>
      <c r="H19" s="5">
        <f>G19/F18</f>
        <v>0.26377613346829082</v>
      </c>
      <c r="I19" s="5">
        <f t="shared" si="0"/>
        <v>0.65354813464518657</v>
      </c>
      <c r="J19" s="2">
        <f t="shared" si="1"/>
        <v>473.2792991178701</v>
      </c>
    </row>
    <row r="20" spans="1:10" x14ac:dyDescent="0.25">
      <c r="A20" s="4" t="s">
        <v>2</v>
      </c>
      <c r="B20" s="4" t="s">
        <v>2</v>
      </c>
      <c r="C20" s="3" t="s">
        <v>11</v>
      </c>
      <c r="D20" s="3">
        <v>10000001</v>
      </c>
      <c r="E20" s="3">
        <v>6535482</v>
      </c>
      <c r="F20" s="3">
        <v>804.13400000000001</v>
      </c>
      <c r="G20" s="3">
        <f>F20-F18</f>
        <v>231.11400000000003</v>
      </c>
      <c r="H20" s="6">
        <f>G20/F18</f>
        <v>0.40332623643153825</v>
      </c>
      <c r="I20" s="5">
        <f t="shared" si="0"/>
        <v>0.65354813464518657</v>
      </c>
      <c r="J20" s="2">
        <f t="shared" si="1"/>
        <v>525.54027570477251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15.42578125" customWidth="1"/>
  </cols>
  <sheetData>
    <row r="1" spans="1:1" ht="409.5" customHeight="1" x14ac:dyDescent="0.25">
      <c r="A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Юрченко</dc:creator>
  <cp:lastModifiedBy>Артем Юрченко</cp:lastModifiedBy>
  <dcterms:created xsi:type="dcterms:W3CDTF">2015-07-27T09:35:32Z</dcterms:created>
  <dcterms:modified xsi:type="dcterms:W3CDTF">2015-07-28T17:15:46Z</dcterms:modified>
</cp:coreProperties>
</file>